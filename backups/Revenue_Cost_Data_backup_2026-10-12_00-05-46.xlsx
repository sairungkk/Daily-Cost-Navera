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4" activeTab="12"/>
  </bookViews>
  <sheets>
    <sheet sheetId="1" name="Data" state="visible" r:id="rId4"/>
    <sheet sheetId="2" name="Reveira House" state="visible" r:id="rId5"/>
    <sheet sheetId="3" name="Junsai" state="visible" r:id="rId6"/>
    <sheet sheetId="4" name="Tapanyaki" state="visible" r:id="rId7"/>
    <sheet sheetId="5" name="Terrace" state="visible" r:id="rId8"/>
    <sheet sheetId="6" name="Juniper" state="visible" r:id="rId9"/>
    <sheet sheetId="7" name="Marcele" state="visible" r:id="rId10"/>
    <sheet sheetId="8" name="Canteen" state="visible" r:id="rId11"/>
    <sheet sheetId="10" name="Purchases_Issues" state="visible" r:id="rId12"/>
    <sheet sheetId="11" name="Cost_Adjustments" state="visible" r:id="rId13"/>
    <sheet sheetId="12" name="Hotel_Stats" state="visible" r:id="rId14"/>
    <sheet sheetId="13" name="Outlet_Summary" state="visible" r:id="rId15"/>
    <sheet sheetId="14" name="Pivot_Summary" state="visible" r:id="rId16"/>
  </sheets>
  <calcPr calcId="171027"/>
</workbook>
</file>

<file path=xl/sharedStrings.xml><?xml version="1.0" encoding="utf-8"?>
<sst xmlns="http://schemas.openxmlformats.org/spreadsheetml/2006/main" count="234" uniqueCount="88">
  <si>
    <t>Date</t>
  </si>
  <si>
    <t>Outlet</t>
  </si>
  <si>
    <t>Categories</t>
  </si>
  <si>
    <t>Meal</t>
  </si>
  <si>
    <t>Revenue</t>
  </si>
  <si>
    <t>Cover</t>
  </si>
  <si>
    <t>Cost</t>
  </si>
  <si>
    <t>Timestamp</t>
  </si>
  <si>
    <t>2026-10-02</t>
  </si>
  <si>
    <t>Marcele</t>
  </si>
  <si>
    <t>RV-Food</t>
  </si>
  <si>
    <t>Breakfast</t>
  </si>
  <si>
    <t>2026-10-12 00:05:46</t>
  </si>
  <si>
    <t>Lunch</t>
  </si>
  <si>
    <t>RV-Beverage</t>
  </si>
  <si>
    <t>RV-Wine</t>
  </si>
  <si>
    <t>Dinner</t>
  </si>
  <si>
    <t>Supper</t>
  </si>
  <si>
    <t>Direct Purchase Food (THB)</t>
  </si>
  <si>
    <t>Direct Purchase Bev (THB)</t>
  </si>
  <si>
    <t>Store Issue Food (THB)</t>
  </si>
  <si>
    <t>Store Issue Wine (THB)</t>
  </si>
  <si>
    <t>Store Issue Bev (THB)</t>
  </si>
  <si>
    <t>Store Issue Other (THB)</t>
  </si>
  <si>
    <t>Transfer In Food (THB)</t>
  </si>
  <si>
    <t>Transfer In Bev (THB)</t>
  </si>
  <si>
    <t>Transfer In Wine (THB)</t>
  </si>
  <si>
    <t>Transfer In Other (THB)</t>
  </si>
  <si>
    <t>Transfer Out Food (THB)</t>
  </si>
  <si>
    <t>Transfer Out Bev (THB)</t>
  </si>
  <si>
    <t>Transfer Out Wine (THB)</t>
  </si>
  <si>
    <t>Transfer Out Other (THB)</t>
  </si>
  <si>
    <t>Credit Cost Food (THB)</t>
  </si>
  <si>
    <t>Credit Cost Bev (THB)</t>
  </si>
  <si>
    <t>Credit Cost Wine (THB)</t>
  </si>
  <si>
    <t>Credit Cost Other (THB)</t>
  </si>
  <si>
    <t>Room Available</t>
  </si>
  <si>
    <t>Room Sold</t>
  </si>
  <si>
    <t>Com./HU. Room</t>
  </si>
  <si>
    <t>Total Guests</t>
  </si>
  <si>
    <t>Weather</t>
  </si>
  <si>
    <t>Sunny</t>
  </si>
  <si>
    <t>Food Rev</t>
  </si>
  <si>
    <t>Bev Rev</t>
  </si>
  <si>
    <t>Wine Rev</t>
  </si>
  <si>
    <t>Other Rev</t>
  </si>
  <si>
    <t>Total Rev</t>
  </si>
  <si>
    <t>Food Cost</t>
  </si>
  <si>
    <t>Bev Cost</t>
  </si>
  <si>
    <t>Wine Cost</t>
  </si>
  <si>
    <t>Other Cost</t>
  </si>
  <si>
    <t>Total Cost</t>
  </si>
  <si>
    <t>Direct Purchase Food</t>
  </si>
  <si>
    <t>Direct Purchase Bev</t>
  </si>
  <si>
    <t>Store Issue Food</t>
  </si>
  <si>
    <t>Store Issue Wine</t>
  </si>
  <si>
    <t>Store Issue Bev</t>
  </si>
  <si>
    <t>Store Issue Other</t>
  </si>
  <si>
    <t>Transfer In Food</t>
  </si>
  <si>
    <t>Transfer In Bev</t>
  </si>
  <si>
    <t>Transfer In Wine</t>
  </si>
  <si>
    <t>Transfer In Other</t>
  </si>
  <si>
    <t>Transfer Out Food</t>
  </si>
  <si>
    <t>Transfer Out Bev</t>
  </si>
  <si>
    <t>Transfer Out Wine</t>
  </si>
  <si>
    <t>Transfer Out Other</t>
  </si>
  <si>
    <t>Credit Cost Food</t>
  </si>
  <si>
    <t>Credit Cost Bev</t>
  </si>
  <si>
    <t>Credit Cost Wine</t>
  </si>
  <si>
    <t>Credit Cost Other</t>
  </si>
  <si>
    <t>Total Food Rev</t>
  </si>
  <si>
    <t>Total Bev Rev</t>
  </si>
  <si>
    <t>Total Wine Rev</t>
  </si>
  <si>
    <t>Total Other Rev</t>
  </si>
  <si>
    <t>Grand Total Rev</t>
  </si>
  <si>
    <t>Total Cover</t>
  </si>
  <si>
    <t>Total Food Cost</t>
  </si>
  <si>
    <t>Total Bev Cost</t>
  </si>
  <si>
    <t>Total Wine Cost</t>
  </si>
  <si>
    <t>Total Other Cost</t>
  </si>
  <si>
    <t>Transfer Net Food</t>
  </si>
  <si>
    <t>Transfer Net Bev</t>
  </si>
  <si>
    <t>Transfer Net Wine</t>
  </si>
  <si>
    <t>Transfer Net Other</t>
  </si>
  <si>
    <t>Reveira House</t>
  </si>
  <si>
    <t>Junsai</t>
  </si>
  <si>
    <t>Canteen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</si>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</sst>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1500</v>
      </c>
      <c r="F2">
        <v>10</v>
      </c>
      <c r="G2">
        <v>1000</v>
      </c>
      <c r="H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>
        <v>20000</v>
      </c>
      <c r="F3">
        <v>0</v>
      </c>
      <c r="G3">
        <v>1000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13</v>
      </c>
      <c r="E4">
        <v>25000</v>
      </c>
      <c r="F4">
        <v>20</v>
      </c>
      <c r="G4">
        <v>1000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16</v>
      </c>
      <c r="E5">
        <v>1456</v>
      </c>
      <c r="F5">
        <v>20</v>
      </c>
      <c r="G5">
        <v>500</v>
      </c>
      <c r="H5" t="s">
        <v>12</v>
      </c>
    </row>
    <row r="6" spans="1:8" x14ac:dyDescent="0.25">
      <c r="A6" t="s">
        <v>8</v>
      </c>
      <c r="B6" t="s">
        <v>9</v>
      </c>
      <c r="C6" t="s">
        <v>14</v>
      </c>
      <c r="D6" t="s">
        <v>17</v>
      </c>
      <c r="E6">
        <v>6544</v>
      </c>
      <c r="F6">
        <v>52</v>
      </c>
      <c r="G6">
        <v>1000</v>
      </c>
      <c r="H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1500</v>
      </c>
      <c r="F2">
        <v>10</v>
      </c>
      <c r="G2">
        <v>1000</v>
      </c>
      <c r="H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>
        <v>20000</v>
      </c>
      <c r="F3">
        <v>0</v>
      </c>
      <c r="G3">
        <v>1000</v>
      </c>
      <c r="H3" t="s">
        <v>12</v>
      </c>
    </row>
    <row r="4" spans="1:8" x14ac:dyDescent="0.25">
      <c r="A4" t="s">
        <v>8</v>
      </c>
      <c r="B4" t="s">
        <v>9</v>
      </c>
      <c r="C4" t="s">
        <v>14</v>
      </c>
      <c r="D4" t="s">
        <v>13</v>
      </c>
      <c r="E4">
        <v>25000</v>
      </c>
      <c r="F4">
        <v>20</v>
      </c>
      <c r="G4">
        <v>1000</v>
      </c>
      <c r="H4" t="s">
        <v>12</v>
      </c>
    </row>
    <row r="5" spans="1:8" x14ac:dyDescent="0.25">
      <c r="A5" t="s">
        <v>8</v>
      </c>
      <c r="B5" t="s">
        <v>9</v>
      </c>
      <c r="C5" t="s">
        <v>15</v>
      </c>
      <c r="D5" t="s">
        <v>16</v>
      </c>
      <c r="E5">
        <v>1456</v>
      </c>
      <c r="F5">
        <v>20</v>
      </c>
      <c r="G5">
        <v>500</v>
      </c>
      <c r="H5" t="s">
        <v>12</v>
      </c>
    </row>
    <row r="6" spans="1:8" x14ac:dyDescent="0.25">
      <c r="A6" t="s">
        <v>8</v>
      </c>
      <c r="B6" t="s">
        <v>9</v>
      </c>
      <c r="C6" t="s">
        <v>14</v>
      </c>
      <c r="D6" t="s">
        <v>17</v>
      </c>
      <c r="E6">
        <v>6544</v>
      </c>
      <c r="F6">
        <v>52</v>
      </c>
      <c r="G6">
        <v>1000</v>
      </c>
      <c r="H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7</v>
      </c>
    </row>
    <row r="2" spans="1:9" x14ac:dyDescent="0.25">
      <c r="A2" t="s">
        <v>8</v>
      </c>
      <c r="B2" t="s">
        <v>9</v>
      </c>
      <c r="C2">
        <v>6500</v>
      </c>
      <c r="D2">
        <v>12500</v>
      </c>
      <c r="E2">
        <v>0</v>
      </c>
      <c r="F2">
        <v>0</v>
      </c>
      <c r="G2">
        <v>0</v>
      </c>
      <c r="H2">
        <v>0</v>
      </c>
      <c r="I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8" customWidth="1"/>
    <col min="3" max="6" width="17" customWidth="1"/>
    <col min="7" max="10" width="18" customWidth="1"/>
    <col min="11" max="14" width="17" customWidth="1"/>
    <col min="15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7</v>
      </c>
    </row>
    <row r="2" spans="1:15" x14ac:dyDescent="0.25">
      <c r="A2" t="s">
        <v>8</v>
      </c>
      <c r="B2" t="s">
        <v>9</v>
      </c>
      <c r="C2">
        <v>1000</v>
      </c>
      <c r="D2">
        <v>1000</v>
      </c>
      <c r="E2">
        <v>1000</v>
      </c>
      <c r="F2">
        <v>0</v>
      </c>
      <c r="G2">
        <v>500</v>
      </c>
      <c r="H2">
        <v>500</v>
      </c>
      <c r="I2">
        <v>500</v>
      </c>
      <c r="J2">
        <v>0</v>
      </c>
      <c r="K2">
        <v>100</v>
      </c>
      <c r="L2">
        <v>100</v>
      </c>
      <c r="M2">
        <v>100</v>
      </c>
      <c r="N2">
        <v>0</v>
      </c>
      <c r="O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14" customWidth="1"/>
    <col min="2" max="2" width="16" customWidth="1"/>
    <col min="3" max="3" width="14" customWidth="1"/>
    <col min="4" max="4" width="16" customWidth="1"/>
    <col min="5" max="6" width="14" customWidth="1"/>
    <col min="7" max="7" width="22" customWidth="1"/>
  </cols>
  <sheetData>
    <row r="1" spans="1:7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7</v>
      </c>
    </row>
    <row r="2" spans="1:7" x14ac:dyDescent="0.25">
      <c r="A2" t="s">
        <v>8</v>
      </c>
      <c r="B2">
        <v>0</v>
      </c>
      <c r="C2">
        <v>0</v>
      </c>
      <c r="D2">
        <v>0</v>
      </c>
      <c r="E2">
        <v>0</v>
      </c>
      <c r="F2" t="s">
        <v>41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workbookViewId="0" zoomScale="100" zoomScaleNormal="100">
      <selection activeCell="I7" sqref="I7"/>
    </sheetView>
  </sheetViews>
  <sheetFormatPr defaultRowHeight="15" outlineLevelRow="0" outlineLevelCol="0" x14ac:dyDescent="0.25"/>
  <cols>
    <col min="1" max="1" width="13" customWidth="1"/>
    <col min="2" max="2" width="18" customWidth="1"/>
    <col min="3" max="3" width="12" customWidth="1"/>
    <col min="4" max="8" width="13" customWidth="1"/>
    <col min="9" max="9" width="10" customWidth="1"/>
    <col min="10" max="14" width="13" customWidth="1"/>
    <col min="15" max="16" width="17" customWidth="1"/>
    <col min="17" max="20" width="15" customWidth="1"/>
    <col min="21" max="24" width="14" customWidth="1"/>
    <col min="25" max="28" width="15" customWidth="1"/>
    <col min="29" max="32" width="14" customWidth="1"/>
    <col min="33" max="33" width="22" customWidth="1"/>
  </cols>
  <sheetData>
    <row r="1" spans="1:33" s="1" customFormat="1" x14ac:dyDescent="0.25">
      <c r="A1" s="1" t="s">
        <v>0</v>
      </c>
      <c r="B1" s="1" t="s">
        <v>1</v>
      </c>
      <c r="C1" s="1" t="s">
        <v>3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5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</v>
      </c>
    </row>
    <row r="2" spans="1:33" x14ac:dyDescent="0.25">
      <c r="A2" t="s">
        <v>8</v>
      </c>
      <c r="B2" t="s">
        <v>9</v>
      </c>
      <c r="C2" t="s">
        <v>11</v>
      </c>
      <c r="D2">
        <v>1500</v>
      </c>
      <c r="E2">
        <v>0</v>
      </c>
      <c r="F2">
        <v>0</v>
      </c>
      <c r="G2">
        <v>0</v>
      </c>
      <c r="H2">
        <v>1500</v>
      </c>
      <c r="I2">
        <v>10</v>
      </c>
      <c r="J2">
        <v>1000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12</v>
      </c>
    </row>
    <row r="3" spans="1:33" x14ac:dyDescent="0.25">
      <c r="A3" t="s">
        <v>8</v>
      </c>
      <c r="B3" t="s">
        <v>9</v>
      </c>
      <c r="C3" t="s">
        <v>13</v>
      </c>
      <c r="D3">
        <v>20000</v>
      </c>
      <c r="E3">
        <v>25000</v>
      </c>
      <c r="F3">
        <v>0</v>
      </c>
      <c r="G3">
        <v>0</v>
      </c>
      <c r="H3">
        <v>45000</v>
      </c>
      <c r="I3">
        <v>20</v>
      </c>
      <c r="J3">
        <v>1000</v>
      </c>
      <c r="K3">
        <v>1000</v>
      </c>
      <c r="L3">
        <v>0</v>
      </c>
      <c r="M3">
        <v>0</v>
      </c>
      <c r="N3">
        <v>2000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12</v>
      </c>
    </row>
    <row r="4" spans="1:33" x14ac:dyDescent="0.25">
      <c r="A4" t="s">
        <v>8</v>
      </c>
      <c r="B4" t="s">
        <v>9</v>
      </c>
      <c r="C4" t="s">
        <v>16</v>
      </c>
      <c r="D4">
        <v>0</v>
      </c>
      <c r="E4">
        <v>0</v>
      </c>
      <c r="F4">
        <v>1456</v>
      </c>
      <c r="G4">
        <v>0</v>
      </c>
      <c r="H4">
        <v>1456</v>
      </c>
      <c r="I4">
        <v>20</v>
      </c>
      <c r="J4">
        <v>0</v>
      </c>
      <c r="K4">
        <v>0</v>
      </c>
      <c r="L4">
        <v>500</v>
      </c>
      <c r="M4">
        <v>0</v>
      </c>
      <c r="N4">
        <v>500</v>
      </c>
      <c r="O4">
        <v>6500</v>
      </c>
      <c r="P4">
        <v>12500</v>
      </c>
      <c r="Q4">
        <v>0</v>
      </c>
      <c r="R4">
        <v>0</v>
      </c>
      <c r="S4">
        <v>0</v>
      </c>
      <c r="T4">
        <v>0</v>
      </c>
      <c r="U4">
        <v>1000</v>
      </c>
      <c r="V4">
        <v>1000</v>
      </c>
      <c r="W4">
        <v>1000</v>
      </c>
      <c r="X4">
        <v>0</v>
      </c>
      <c r="Y4">
        <v>500</v>
      </c>
      <c r="Z4">
        <v>500</v>
      </c>
      <c r="AA4">
        <v>500</v>
      </c>
      <c r="AB4">
        <v>0</v>
      </c>
      <c r="AC4">
        <v>100</v>
      </c>
      <c r="AD4">
        <v>100</v>
      </c>
      <c r="AE4">
        <v>100</v>
      </c>
      <c r="AF4">
        <v>0</v>
      </c>
      <c r="AG4" t="s">
        <v>12</v>
      </c>
    </row>
    <row r="5" spans="1:33" x14ac:dyDescent="0.25">
      <c r="A5" t="s">
        <v>8</v>
      </c>
      <c r="B5" t="s">
        <v>9</v>
      </c>
      <c r="C5" t="s">
        <v>17</v>
      </c>
      <c r="D5">
        <v>0</v>
      </c>
      <c r="E5">
        <v>6544</v>
      </c>
      <c r="F5">
        <v>0</v>
      </c>
      <c r="G5">
        <v>0</v>
      </c>
      <c r="H5">
        <v>6544</v>
      </c>
      <c r="I5">
        <v>52</v>
      </c>
      <c r="J5">
        <v>0</v>
      </c>
      <c r="K5">
        <v>1000</v>
      </c>
      <c r="L5">
        <v>0</v>
      </c>
      <c r="M5">
        <v>0</v>
      </c>
      <c r="N5">
        <v>1000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 zoomScale="100" zoomScaleNormal="100">
      <selection activeCell="F9" sqref="F9"/>
    </sheetView>
  </sheetViews>
  <sheetFormatPr defaultRowHeight="15" outlineLevelRow="0" outlineLevelCol="0" x14ac:dyDescent="0.25"/>
  <cols>
    <col min="1" max="1" width="20" customWidth="1"/>
    <col min="2" max="5" width="15" customWidth="1"/>
    <col min="6" max="6" width="16" customWidth="1"/>
    <col min="7" max="7" width="12" customWidth="1"/>
    <col min="8" max="12" width="15" customWidth="1"/>
    <col min="13" max="14" width="17" customWidth="1"/>
    <col min="15" max="22" width="15" customWidth="1"/>
    <col min="23" max="26" width="14" customWidth="1"/>
  </cols>
  <sheetData>
    <row r="1" spans="1:26" s="1" customFormat="1" x14ac:dyDescent="0.25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66</v>
      </c>
      <c r="X1" s="1" t="s">
        <v>67</v>
      </c>
      <c r="Y1" s="1" t="s">
        <v>68</v>
      </c>
      <c r="Z1" s="1" t="s">
        <v>69</v>
      </c>
    </row>
    <row r="2" spans="1:26" x14ac:dyDescent="0.25">
      <c r="A2" t="s">
        <v>84</v>
      </c>
      <c r="B2">
        <f>SUMIFS(Outlet_Summary!D:D, Outlet_Summary!B:B, A2)</f>
      </c>
      <c r="C2">
        <f>SUMIFS(Outlet_Summary!E:E, Outlet_Summary!B:B, A2)</f>
      </c>
      <c r="D2">
        <f>SUMIFS(Outlet_Summary!F:F, Outlet_Summary!B:B, A2)</f>
      </c>
      <c r="E2">
        <f>SUMIFS(Outlet_Summary!G:G, Outlet_Summary!B:B, A2)</f>
      </c>
      <c r="F2">
        <f>SUMIFS(Outlet_Summary!H:H, Outlet_Summary!B:B, A2)</f>
      </c>
      <c r="G2">
        <f>SUMIFS(Outlet_Summary!I:I, Outlet_Summary!B:B, A2)</f>
      </c>
      <c r="H2">
        <f>SUMIFS(Outlet_Summary!J:J, Outlet_Summary!B:B, A2)</f>
      </c>
      <c r="I2">
        <f>SUMIFS(Outlet_Summary!K:K, Outlet_Summary!B:B, A2)</f>
      </c>
      <c r="J2">
        <f>SUMIFS(Outlet_Summary!L:L, Outlet_Summary!B:B, A2)</f>
      </c>
      <c r="K2">
        <f>SUMIFS(Outlet_Summary!M:M, Outlet_Summary!B:B, A2)</f>
      </c>
      <c r="L2">
        <f>SUMIFS(Outlet_Summary!N:N, Outlet_Summary!B:B, A2)</f>
      </c>
      <c r="M2">
        <f>SUMIFS(Outlet_Summary!O:O, Outlet_Summary!B:B, A2)</f>
      </c>
      <c r="N2">
        <f>SUMIFS(Outlet_Summary!P:P, Outlet_Summary!B:B, A2)</f>
      </c>
      <c r="O2">
        <f>SUMIFS(Outlet_Summary!Q:Q, Outlet_Summary!B:B, A2)</f>
      </c>
      <c r="P2">
        <f>SUMIFS(Outlet_Summary!R:R, Outlet_Summary!B:B, A2)</f>
      </c>
      <c r="Q2">
        <f>SUMIFS(Outlet_Summary!S:S, Outlet_Summary!B:B, A2)</f>
      </c>
      <c r="R2">
        <f>SUMIFS(Outlet_Summary!T:T, Outlet_Summary!B:B, A2)</f>
      </c>
      <c r="S2">
        <f>SUMIFS(Outlet_Summary!U:U, Outlet_Summary!B:B, A2)-SUMIFS(Outlet_Summary!Y:Y, Outlet_Summary!B:B, A2)</f>
      </c>
      <c r="T2">
        <f>SUMIFS(Outlet_Summary!V:V, Outlet_Summary!B:B, A2)-SUMIFS(Outlet_Summary!Z:Z, Outlet_Summary!B:B, A2)</f>
      </c>
      <c r="U2">
        <f>SUMIFS(Outlet_Summary!W:W, Outlet_Summary!B:B, A2)-SUMIFS(Outlet_Summary!AA:AA, Outlet_Summary!B:B, A2)</f>
      </c>
      <c r="V2">
        <f>SUMIFS(Outlet_Summary!X:X, Outlet_Summary!B:B, A2)-SUMIFS(Outlet_Summary!AB:AB, Outlet_Summary!B:B, A2)</f>
      </c>
      <c r="W2">
        <f>SUMIFS(Outlet_Summary!AC:AC, Outlet_Summary!B:B, A2)</f>
      </c>
      <c r="X2">
        <f>SUMIFS(Outlet_Summary!AD:AD, Outlet_Summary!B:B, A2)</f>
      </c>
      <c r="Y2">
        <f>SUMIFS(Outlet_Summary!AE:AE, Outlet_Summary!B:B, A2)</f>
      </c>
      <c r="Z2">
        <f>SUMIFS(Outlet_Summary!AF:AF, Outlet_Summary!B:B, A2)</f>
      </c>
    </row>
    <row r="3" spans="1:26" x14ac:dyDescent="0.25">
      <c r="A3" t="s">
        <v>85</v>
      </c>
      <c r="B3">
        <f>SUMIFS(Outlet_Summary!D:D, Outlet_Summary!B:B, A3)</f>
      </c>
      <c r="C3">
        <f>SUMIFS(Outlet_Summary!E:E, Outlet_Summary!B:B, A3)</f>
      </c>
      <c r="D3">
        <f>SUMIFS(Outlet_Summary!F:F, Outlet_Summary!B:B, A3)</f>
      </c>
      <c r="E3">
        <f>SUMIFS(Outlet_Summary!G:G, Outlet_Summary!B:B, A3)</f>
      </c>
      <c r="F3">
        <f>SUMIFS(Outlet_Summary!H:H, Outlet_Summary!B:B, A3)</f>
      </c>
      <c r="G3">
        <f>SUMIFS(Outlet_Summary!I:I, Outlet_Summary!B:B, A3)</f>
      </c>
      <c r="H3">
        <f>SUMIFS(Outlet_Summary!J:J, Outlet_Summary!B:B, A3)</f>
      </c>
      <c r="I3">
        <f>SUMIFS(Outlet_Summary!K:K, Outlet_Summary!B:B, A3)</f>
      </c>
      <c r="J3">
        <f>SUMIFS(Outlet_Summary!L:L, Outlet_Summary!B:B, A3)</f>
      </c>
      <c r="K3">
        <f>SUMIFS(Outlet_Summary!M:M, Outlet_Summary!B:B, A3)</f>
      </c>
      <c r="L3">
        <f>SUMIFS(Outlet_Summary!N:N, Outlet_Summary!B:B, A3)</f>
      </c>
      <c r="M3">
        <f>SUMIFS(Outlet_Summary!O:O, Outlet_Summary!B:B, A3)</f>
      </c>
      <c r="N3">
        <f>SUMIFS(Outlet_Summary!P:P, Outlet_Summary!B:B, A3)</f>
      </c>
      <c r="O3">
        <f>SUMIFS(Outlet_Summary!Q:Q, Outlet_Summary!B:B, A3)</f>
      </c>
      <c r="P3">
        <f>SUMIFS(Outlet_Summary!R:R, Outlet_Summary!B:B, A3)</f>
      </c>
      <c r="Q3">
        <f>SUMIFS(Outlet_Summary!S:S, Outlet_Summary!B:B, A3)</f>
      </c>
      <c r="R3">
        <f>SUMIFS(Outlet_Summary!T:T, Outlet_Summary!B:B, A3)</f>
      </c>
      <c r="S3">
        <f>SUMIFS(Outlet_Summary!U:U, Outlet_Summary!B:B, A3)-SUMIFS(Outlet_Summary!Y:Y, Outlet_Summary!B:B, A3)</f>
      </c>
      <c r="T3">
        <f>SUMIFS(Outlet_Summary!V:V, Outlet_Summary!B:B, A3)-SUMIFS(Outlet_Summary!Z:Z, Outlet_Summary!B:B, A3)</f>
      </c>
      <c r="U3">
        <f>SUMIFS(Outlet_Summary!W:W, Outlet_Summary!B:B, A3)-SUMIFS(Outlet_Summary!AA:AA, Outlet_Summary!B:B, A3)</f>
      </c>
      <c r="V3">
        <f>SUMIFS(Outlet_Summary!X:X, Outlet_Summary!B:B, A3)-SUMIFS(Outlet_Summary!AB:AB, Outlet_Summary!B:B, A3)</f>
      </c>
      <c r="W3">
        <f>SUMIFS(Outlet_Summary!AC:AC, Outlet_Summary!B:B, A3)</f>
      </c>
      <c r="X3">
        <f>SUMIFS(Outlet_Summary!AD:AD, Outlet_Summary!B:B, A3)</f>
      </c>
      <c r="Y3">
        <f>SUMIFS(Outlet_Summary!AE:AE, Outlet_Summary!B:B, A3)</f>
      </c>
      <c r="Z3">
        <f>SUMIFS(Outlet_Summary!AF:AF, Outlet_Summary!B:B, A3)</f>
      </c>
    </row>
    <row r="4" spans="1:26" x14ac:dyDescent="0.25">
      <c r="A4" t="s">
        <v>9</v>
      </c>
      <c r="B4">
        <f>SUMIFS(Outlet_Summary!D:D, Outlet_Summary!B:B, A4)</f>
      </c>
      <c r="C4">
        <f>SUMIFS(Outlet_Summary!E:E, Outlet_Summary!B:B, A4)</f>
      </c>
      <c r="D4">
        <f>SUMIFS(Outlet_Summary!F:F, Outlet_Summary!B:B, A4)</f>
      </c>
      <c r="E4">
        <f>SUMIFS(Outlet_Summary!G:G, Outlet_Summary!B:B, A4)</f>
      </c>
      <c r="F4">
        <f>SUMIFS(Outlet_Summary!H:H, Outlet_Summary!B:B, A4)</f>
      </c>
      <c r="G4">
        <f>SUMIFS(Outlet_Summary!I:I, Outlet_Summary!B:B, A4)</f>
      </c>
      <c r="H4">
        <f>SUMIFS(Outlet_Summary!J:J, Outlet_Summary!B:B, A4)</f>
      </c>
      <c r="I4">
        <f>SUMIFS(Outlet_Summary!K:K, Outlet_Summary!B:B, A4)</f>
      </c>
      <c r="J4">
        <f>SUMIFS(Outlet_Summary!L:L, Outlet_Summary!B:B, A4)</f>
      </c>
      <c r="K4">
        <f>SUMIFS(Outlet_Summary!M:M, Outlet_Summary!B:B, A4)</f>
      </c>
      <c r="L4">
        <f>SUMIFS(Outlet_Summary!N:N, Outlet_Summary!B:B, A4)</f>
      </c>
      <c r="M4">
        <f>SUMIFS(Outlet_Summary!O:O, Outlet_Summary!B:B, A4)</f>
      </c>
      <c r="N4">
        <f>SUMIFS(Outlet_Summary!P:P, Outlet_Summary!B:B, A4)</f>
      </c>
      <c r="O4">
        <f>SUMIFS(Outlet_Summary!Q:Q, Outlet_Summary!B:B, A4)</f>
      </c>
      <c r="P4">
        <f>SUMIFS(Outlet_Summary!R:R, Outlet_Summary!B:B, A4)</f>
      </c>
      <c r="Q4">
        <f>SUMIFS(Outlet_Summary!S:S, Outlet_Summary!B:B, A4)</f>
      </c>
      <c r="R4">
        <f>SUMIFS(Outlet_Summary!T:T, Outlet_Summary!B:B, A4)</f>
      </c>
      <c r="S4">
        <f>SUMIFS(Outlet_Summary!U:U, Outlet_Summary!B:B, A4)-SUMIFS(Outlet_Summary!Y:Y, Outlet_Summary!B:B, A4)</f>
      </c>
      <c r="T4">
        <f>SUMIFS(Outlet_Summary!V:V, Outlet_Summary!B:B, A4)-SUMIFS(Outlet_Summary!Z:Z, Outlet_Summary!B:B, A4)</f>
      </c>
      <c r="U4">
        <f>SUMIFS(Outlet_Summary!W:W, Outlet_Summary!B:B, A4)-SUMIFS(Outlet_Summary!AA:AA, Outlet_Summary!B:B, A4)</f>
      </c>
      <c r="V4">
        <f>SUMIFS(Outlet_Summary!X:X, Outlet_Summary!B:B, A4)-SUMIFS(Outlet_Summary!AB:AB, Outlet_Summary!B:B, A4)</f>
      </c>
      <c r="W4">
        <f>SUMIFS(Outlet_Summary!AC:AC, Outlet_Summary!B:B, A4)</f>
      </c>
      <c r="X4">
        <f>SUMIFS(Outlet_Summary!AD:AD, Outlet_Summary!B:B, A4)</f>
      </c>
      <c r="Y4">
        <f>SUMIFS(Outlet_Summary!AE:AE, Outlet_Summary!B:B, A4)</f>
      </c>
      <c r="Z4">
        <f>SUMIFS(Outlet_Summary!AF:AF, Outlet_Summary!B:B, A4)</f>
      </c>
    </row>
    <row r="5" spans="1:26" x14ac:dyDescent="0.25">
      <c r="A5" t="s">
        <v>86</v>
      </c>
      <c r="B5">
        <f>SUMIFS(Outlet_Summary!D:D, Outlet_Summary!B:B, A5)</f>
      </c>
      <c r="C5">
        <f>SUMIFS(Outlet_Summary!E:E, Outlet_Summary!B:B, A5)</f>
      </c>
      <c r="D5">
        <f>SUMIFS(Outlet_Summary!F:F, Outlet_Summary!B:B, A5)</f>
      </c>
      <c r="E5">
        <f>SUMIFS(Outlet_Summary!G:G, Outlet_Summary!B:B, A5)</f>
      </c>
      <c r="F5">
        <f>SUMIFS(Outlet_Summary!H:H, Outlet_Summary!B:B, A5)</f>
      </c>
      <c r="G5">
        <f>SUMIFS(Outlet_Summary!I:I, Outlet_Summary!B:B, A5)</f>
      </c>
      <c r="H5">
        <f>SUMIFS(Outlet_Summary!J:J, Outlet_Summary!B:B, A5)</f>
      </c>
      <c r="I5">
        <f>SUMIFS(Outlet_Summary!K:K, Outlet_Summary!B:B, A5)</f>
      </c>
      <c r="J5">
        <f>SUMIFS(Outlet_Summary!L:L, Outlet_Summary!B:B, A5)</f>
      </c>
      <c r="K5">
        <f>SUMIFS(Outlet_Summary!M:M, Outlet_Summary!B:B, A5)</f>
      </c>
      <c r="L5">
        <f>SUMIFS(Outlet_Summary!N:N, Outlet_Summary!B:B, A5)</f>
      </c>
      <c r="M5">
        <f>SUMIFS(Outlet_Summary!O:O, Outlet_Summary!B:B, A5)</f>
      </c>
      <c r="N5">
        <f>SUMIFS(Outlet_Summary!P:P, Outlet_Summary!B:B, A5)</f>
      </c>
      <c r="O5">
        <f>SUMIFS(Outlet_Summary!Q:Q, Outlet_Summary!B:B, A5)</f>
      </c>
      <c r="P5">
        <f>SUMIFS(Outlet_Summary!R:R, Outlet_Summary!B:B, A5)</f>
      </c>
      <c r="Q5">
        <f>SUMIFS(Outlet_Summary!S:S, Outlet_Summary!B:B, A5)</f>
      </c>
      <c r="R5">
        <f>SUMIFS(Outlet_Summary!T:T, Outlet_Summary!B:B, A5)</f>
      </c>
      <c r="S5">
        <f>SUMIFS(Outlet_Summary!U:U, Outlet_Summary!B:B, A5)-SUMIFS(Outlet_Summary!Y:Y, Outlet_Summary!B:B, A5)</f>
      </c>
      <c r="T5">
        <f>SUMIFS(Outlet_Summary!V:V, Outlet_Summary!B:B, A5)-SUMIFS(Outlet_Summary!Z:Z, Outlet_Summary!B:B, A5)</f>
      </c>
      <c r="U5">
        <f>SUMIFS(Outlet_Summary!W:W, Outlet_Summary!B:B, A5)-SUMIFS(Outlet_Summary!AA:AA, Outlet_Summary!B:B, A5)</f>
      </c>
      <c r="V5">
        <f>SUMIFS(Outlet_Summary!X:X, Outlet_Summary!B:B, A5)-SUMIFS(Outlet_Summary!AB:AB, Outlet_Summary!B:B, A5)</f>
      </c>
      <c r="W5">
        <f>SUMIFS(Outlet_Summary!AC:AC, Outlet_Summary!B:B, A5)</f>
      </c>
      <c r="X5">
        <f>SUMIFS(Outlet_Summary!AD:AD, Outlet_Summary!B:B, A5)</f>
      </c>
      <c r="Y5">
        <f>SUMIFS(Outlet_Summary!AE:AE, Outlet_Summary!B:B, A5)</f>
      </c>
      <c r="Z5">
        <f>SUMIFS(Outlet_Summary!AF:AF, Outlet_Summary!B:B, A5)</f>
      </c>
    </row>
    <row r="6" spans="1:26" s="1" customFormat="1" x14ac:dyDescent="0.25">
      <c r="A6" s="1" t="s">
        <v>87</v>
      </c>
      <c r="B6" s="1">
        <f>SUM(B2:B5)</f>
      </c>
      <c r="C6" s="1">
        <f>SUM(C2:C5)</f>
      </c>
      <c r="D6" s="1">
        <f>SUM(D2:D5)</f>
      </c>
      <c r="E6" s="1">
        <f>SUM(E2:E5)</f>
      </c>
      <c r="F6" s="1">
        <f>SUM(F2:F5)</f>
      </c>
      <c r="G6" s="1">
        <f>SUM(G2:G5)</f>
      </c>
      <c r="H6" s="1">
        <f>SUM(H2:H5)</f>
      </c>
      <c r="I6" s="1">
        <f>SUM(I2:I5)</f>
      </c>
      <c r="J6" s="1">
        <f>SUM(J2:J5)</f>
      </c>
      <c r="K6" s="1">
        <f>SUM(K2:K5)</f>
      </c>
      <c r="L6" s="1">
        <f>SUM(L2:L5)</f>
      </c>
      <c r="M6" s="1">
        <f>SUM(M2:M5)</f>
      </c>
      <c r="N6" s="1">
        <f>SUM(N2:N5)</f>
      </c>
      <c r="O6" s="1">
        <f>SUM(O2:O5)</f>
      </c>
      <c r="P6" s="1">
        <f>SUM(P2:P5)</f>
      </c>
      <c r="Q6" s="1">
        <f>SUM(Q2:Q5)</f>
      </c>
      <c r="R6" s="1">
        <f>SUM(R2:R5)</f>
      </c>
      <c r="S6" s="1">
        <f>SUM(S2:S5)</f>
      </c>
      <c r="T6" s="1">
        <f>SUM(T2:T5)</f>
      </c>
      <c r="U6" s="1">
        <f>SUM(U2:U5)</f>
      </c>
      <c r="V6" s="1">
        <f>SUM(V2:V5)</f>
      </c>
      <c r="W6" s="1">
        <f>SUM(W2:W5)</f>
      </c>
      <c r="X6" s="1">
        <f>SUM(X2:X5)</f>
      </c>
      <c r="Y6" s="1">
        <f>SUM(Y2:Y5)</f>
      </c>
      <c r="Z6" s="1">
        <f>SUM(Z2:Z5)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Reveira House</vt:lpstr>
      <vt:lpstr>Junsai</vt:lpstr>
      <vt:lpstr>Tapanyaki</vt:lpstr>
      <vt:lpstr>Terrace</vt:lpstr>
      <vt:lpstr>Juniper</vt:lpstr>
      <vt:lpstr>Marcele</vt:lpstr>
      <vt:lpstr>Canteen</vt:lpstr>
      <vt:lpstr>Purchases_Issues</vt:lpstr>
      <vt:lpstr>Cost_Adjustments</vt:lpstr>
      <vt:lpstr>Hotel_Stats</vt:lpstr>
      <vt:lpstr>Outlet_Summary</vt:lpstr>
      <vt:lpstr>Pivot_Summary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2026-09-03T13:26:19Z</dcterms:created>
  <dcterms:modified xsi:type="dcterms:W3CDTF">2026-10-11T16:24:02Z</dcterms:modified>
</cp:coreProperties>
</file>